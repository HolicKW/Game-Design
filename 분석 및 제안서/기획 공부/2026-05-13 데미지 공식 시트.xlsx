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FC6472-0AED-4072-B28B-A5AAC0097D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mage Simulator" sheetId="1" r:id="rId1"/>
    <sheet name="Scenario 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2" l="1"/>
  <c r="C10" i="2"/>
  <c r="B10" i="2"/>
  <c r="D9" i="2"/>
  <c r="C9" i="2"/>
  <c r="B9" i="2"/>
  <c r="B39" i="1"/>
  <c r="D39" i="1" s="1"/>
  <c r="B38" i="1"/>
  <c r="C38" i="1" s="1"/>
  <c r="F38" i="1" s="1"/>
  <c r="B37" i="1"/>
  <c r="E37" i="1" s="1"/>
  <c r="B36" i="1"/>
  <c r="E36" i="1" s="1"/>
  <c r="B35" i="1"/>
  <c r="C35" i="1" s="1"/>
  <c r="F35" i="1" s="1"/>
  <c r="B34" i="1"/>
  <c r="D34" i="1" s="1"/>
  <c r="B33" i="1"/>
  <c r="E33" i="1" s="1"/>
  <c r="B32" i="1"/>
  <c r="D32" i="1" s="1"/>
  <c r="B31" i="1"/>
  <c r="C31" i="1" s="1"/>
  <c r="F31" i="1" s="1"/>
  <c r="B30" i="1"/>
  <c r="D30" i="1" s="1"/>
  <c r="B29" i="1"/>
  <c r="E29" i="1" s="1"/>
  <c r="B28" i="1"/>
  <c r="E28" i="1" s="1"/>
  <c r="B27" i="1"/>
  <c r="E27" i="1" s="1"/>
  <c r="B26" i="1"/>
  <c r="E26" i="1" s="1"/>
  <c r="B25" i="1"/>
  <c r="D25" i="1" s="1"/>
  <c r="B24" i="1"/>
  <c r="E24" i="1" s="1"/>
  <c r="B23" i="1"/>
  <c r="E23" i="1" s="1"/>
  <c r="B22" i="1"/>
  <c r="C22" i="1" s="1"/>
  <c r="F22" i="1" s="1"/>
  <c r="B21" i="1"/>
  <c r="E21" i="1" s="1"/>
  <c r="B20" i="1"/>
  <c r="E20" i="1" s="1"/>
  <c r="B19" i="1"/>
  <c r="E19" i="1" s="1"/>
  <c r="B18" i="1"/>
  <c r="D18" i="1" s="1"/>
  <c r="B17" i="1"/>
  <c r="E17" i="1" s="1"/>
  <c r="B16" i="1"/>
  <c r="E16" i="1" s="1"/>
  <c r="B15" i="1"/>
  <c r="C15" i="1" s="1"/>
  <c r="F15" i="1" s="1"/>
  <c r="B14" i="1"/>
  <c r="D14" i="1" s="1"/>
  <c r="B13" i="1"/>
  <c r="E13" i="1" s="1"/>
  <c r="B12" i="1"/>
  <c r="E12" i="1" s="1"/>
  <c r="B11" i="1"/>
  <c r="C11" i="1" s="1"/>
  <c r="F11" i="1" s="1"/>
  <c r="B10" i="1"/>
  <c r="E10" i="1" s="1"/>
  <c r="B9" i="1"/>
  <c r="D9" i="1" s="1"/>
  <c r="D35" i="1" l="1"/>
  <c r="E35" i="1"/>
  <c r="E25" i="1"/>
  <c r="D38" i="1"/>
  <c r="C19" i="1"/>
  <c r="F19" i="1" s="1"/>
  <c r="E9" i="1"/>
  <c r="C28" i="1"/>
  <c r="F28" i="1" s="1"/>
  <c r="E38" i="1"/>
  <c r="D19" i="1"/>
  <c r="E39" i="1"/>
  <c r="D22" i="1"/>
  <c r="C12" i="1"/>
  <c r="F12" i="1" s="1"/>
  <c r="E22" i="1"/>
  <c r="D21" i="1"/>
  <c r="E34" i="1"/>
  <c r="E15" i="1"/>
  <c r="C25" i="1"/>
  <c r="F25" i="1" s="1"/>
  <c r="D28" i="1"/>
  <c r="E31" i="1"/>
  <c r="C32" i="1"/>
  <c r="F32" i="1" s="1"/>
  <c r="C13" i="1"/>
  <c r="F13" i="1" s="1"/>
  <c r="D16" i="1"/>
  <c r="C29" i="1"/>
  <c r="F29" i="1" s="1"/>
  <c r="D13" i="1"/>
  <c r="C26" i="1"/>
  <c r="F26" i="1" s="1"/>
  <c r="E32" i="1"/>
  <c r="D10" i="1"/>
  <c r="D26" i="1"/>
  <c r="D23" i="1"/>
  <c r="C36" i="1"/>
  <c r="F36" i="1" s="1"/>
  <c r="D20" i="1"/>
  <c r="C33" i="1"/>
  <c r="F33" i="1" s="1"/>
  <c r="D17" i="1"/>
  <c r="D33" i="1"/>
  <c r="D11" i="1"/>
  <c r="E14" i="1"/>
  <c r="C24" i="1"/>
  <c r="F24" i="1" s="1"/>
  <c r="D27" i="1"/>
  <c r="E30" i="1"/>
  <c r="E11" i="1"/>
  <c r="D24" i="1"/>
  <c r="D15" i="1"/>
  <c r="E18" i="1"/>
  <c r="D31" i="1"/>
  <c r="C9" i="1"/>
  <c r="F9" i="1" s="1"/>
  <c r="D12" i="1"/>
  <c r="C39" i="1"/>
  <c r="F39" i="1" s="1"/>
  <c r="C16" i="1"/>
  <c r="F16" i="1" s="1"/>
  <c r="C10" i="1"/>
  <c r="F10" i="1" s="1"/>
  <c r="D29" i="1"/>
  <c r="C23" i="1"/>
  <c r="F23" i="1" s="1"/>
  <c r="C20" i="1"/>
  <c r="F20" i="1" s="1"/>
  <c r="C17" i="1"/>
  <c r="F17" i="1" s="1"/>
  <c r="D36" i="1"/>
  <c r="C14" i="1"/>
  <c r="F14" i="1" s="1"/>
  <c r="C30" i="1"/>
  <c r="F30" i="1" s="1"/>
  <c r="C27" i="1"/>
  <c r="F27" i="1" s="1"/>
  <c r="C21" i="1"/>
  <c r="F21" i="1" s="1"/>
  <c r="C37" i="1"/>
  <c r="F37" i="1" s="1"/>
  <c r="C18" i="1"/>
  <c r="F18" i="1" s="1"/>
  <c r="C34" i="1"/>
  <c r="F34" i="1" s="1"/>
  <c r="D37" i="1"/>
</calcChain>
</file>

<file path=xl/sharedStrings.xml><?xml version="1.0" encoding="utf-8"?>
<sst xmlns="http://schemas.openxmlformats.org/spreadsheetml/2006/main" count="91" uniqueCount="70">
  <si>
    <t>Damage Formula Simulator</t>
  </si>
  <si>
    <t>입력값</t>
  </si>
  <si>
    <t>값</t>
  </si>
  <si>
    <t>공식</t>
  </si>
  <si>
    <t>수식</t>
  </si>
  <si>
    <t>설명</t>
  </si>
  <si>
    <t>ATK</t>
  </si>
  <si>
    <t>감산형</t>
  </si>
  <si>
    <t>MAX(ATK-DEF,0)</t>
  </si>
  <si>
    <t>방어도가 공격력을 넘으면 피해가 0이 될 수 있음</t>
  </si>
  <si>
    <t>K 상수</t>
  </si>
  <si>
    <t>하이퍼볼릭형</t>
  </si>
  <si>
    <t>ATK×K/(K+DEF)</t>
  </si>
  <si>
    <t>방어도가 높아도 피해가 0이 되지 않음</t>
  </si>
  <si>
    <t>자기 공식 감쇠율</t>
  </si>
  <si>
    <t>자기 공식</t>
  </si>
  <si>
    <t>ATK×감쇠율^(DEF/10)</t>
  </si>
  <si>
    <t>방어도 10마다 일정 비율로 피해가 줄어드는 방식</t>
  </si>
  <si>
    <t>DEF</t>
  </si>
  <si>
    <t>감산형 피해</t>
  </si>
  <si>
    <t>하이퍼볼릭형 피해</t>
  </si>
  <si>
    <t>자기 공식 피해</t>
  </si>
  <si>
    <t>비고</t>
  </si>
  <si>
    <t>해석 가이드</t>
  </si>
  <si>
    <t>직관적이지만 DEF가 ATK 이상이면 피해가 0이 되어 전투가 막힐 수 있음</t>
  </si>
  <si>
    <t>DEF가 올라갈수록 피해가 줄지만 절대 0이 되지 않아 성장형 전투에 안정적</t>
  </si>
  <si>
    <t>DEF 10마다 피해가 일정 비율로 줄어드는 방식. 감쇠율을 바꾸며 체감 조정 가능</t>
  </si>
  <si>
    <t>실습 포인트</t>
  </si>
  <si>
    <t>B4의 ATK, B5의 K, B6의 감쇠율을 바꾸며 그래프 모양을 비교</t>
  </si>
  <si>
    <t>주의</t>
  </si>
  <si>
    <t>공식의 좋고 나쁨은 게임 장르와 성장 폭에 따라 달라짐</t>
  </si>
  <si>
    <t>입력 범위</t>
  </si>
  <si>
    <t>ATK는 10~500, DEF는 0~300 범위를 기준으로 구성했습니다.</t>
  </si>
  <si>
    <t>기본값은 ATK×0.98^(DEF/10)입니다. B6 값을 바꾸면 그래프와 결과가 바뀝니다.</t>
  </si>
  <si>
    <t>과제 목표</t>
  </si>
  <si>
    <t>공식별 결과를 비교한 뒤 어떤 공식이 공정하게 느껴지는지 직접 판단하도록 설계했습니다.</t>
  </si>
  <si>
    <t>Scenario Test: 레벨 격차 상황 비교</t>
  </si>
  <si>
    <t>시나리오</t>
  </si>
  <si>
    <t>공격자</t>
  </si>
  <si>
    <t>수비자</t>
  </si>
  <si>
    <t>공정성 메모</t>
  </si>
  <si>
    <t>A</t>
  </si>
  <si>
    <t>레벨 1 캐릭터</t>
  </si>
  <si>
    <t>레벨 50 몬스터</t>
  </si>
  <si>
    <t>낮은 ATK가 높은 DEF를 공격</t>
  </si>
  <si>
    <t>B</t>
  </si>
  <si>
    <t>레벨 50 캐릭터</t>
  </si>
  <si>
    <t>레벨 1 몬스터</t>
  </si>
  <si>
    <t>반대 상황: 높은 ATK가 낮은 DEF를 공격</t>
  </si>
  <si>
    <t>가장 공정하다고 느껴지는 공식</t>
  </si>
  <si>
    <t>한 줄 이유</t>
  </si>
  <si>
    <t>직접 입력</t>
  </si>
  <si>
    <t>예: 낮은 레벨도 최소 피해가 있어야 한다면 하이퍼볼릭형이 공정해 보임</t>
  </si>
  <si>
    <t>예: 강한 캐릭터의 우위를 크게 보여주려면 감산형도 직관적일 수 있음</t>
  </si>
  <si>
    <t>공식명</t>
  </si>
  <si>
    <t>시나리오 A 결과 해석</t>
  </si>
  <si>
    <t>시나리오 B 결과 해석</t>
  </si>
  <si>
    <t>설계 관점</t>
  </si>
  <si>
    <t>ATK 30, DEF 200이면 0 피해</t>
  </si>
  <si>
    <t>ATK 200, DEF 30이면 170 피해</t>
  </si>
  <si>
    <t>레벨 차이를 강하게 표현하지만 저레벨 공격이 막힐 수 있음</t>
  </si>
  <si>
    <t>ATK×100/(100+DEF)</t>
  </si>
  <si>
    <t>ATK 30, DEF 200이면 10 피해</t>
  </si>
  <si>
    <t>ATK 200, DEF 30이면 약 153.85 피해</t>
  </si>
  <si>
    <t>피해를 0으로 만들지 않아 전투 흐름 유지에 유리</t>
  </si>
  <si>
    <t>감쇠율 0.98 기준 약 20.03 피해</t>
  </si>
  <si>
    <t>감쇠율 0.98 기준 약 188.24 피해</t>
  </si>
  <si>
    <t>감쇠율 조정으로 방어 체감 강도를 부드럽게 조절 가능</t>
  </si>
  <si>
    <t>결론 작성칸</t>
  </si>
  <si>
    <t>나는 ______ 공식이 가장 공정하다고 느낀다. 이유: 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</si>
</sst>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1"/>
      <name val="Carlito"/>
    </font>
    <font>
      <sz val="11"/>
      <color rgb="FF374151"/>
      <name val="Carlito"/>
    </font>
    <font>
      <b/>
      <sz val="11"/>
      <color rgb="FF374151"/>
      <name val="Carlito"/>
    </font>
    <font>
      <sz val="11"/>
      <name val="Carlito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D9EAF7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2" fillId="3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2" fontId="4" fillId="5" borderId="0" xfId="1" applyNumberFormat="1" applyFont="1" applyFill="1" applyAlignment="1">
      <alignment horizontal="center" vertical="center"/>
    </xf>
    <xf numFmtId="0" fontId="5" fillId="6" borderId="0" xfId="1" applyFont="1" applyFill="1" applyAlignment="1">
      <alignment vertical="top" wrapText="1"/>
    </xf>
    <xf numFmtId="0" fontId="6" fillId="6" borderId="0" xfId="1" applyFont="1" applyFill="1" applyAlignment="1">
      <alignment vertical="top" wrapText="1"/>
    </xf>
    <xf numFmtId="176" fontId="0" fillId="0" borderId="0" xfId="1" applyNumberFormat="1" applyFont="1"/>
    <xf numFmtId="1" fontId="0" fillId="0" borderId="0" xfId="1" applyNumberFormat="1" applyFont="1"/>
    <xf numFmtId="0" fontId="2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0" fillId="7" borderId="0" xfId="1" applyFont="1" applyFill="1" applyAlignment="1">
      <alignment horizontal="center" vertical="center"/>
    </xf>
    <xf numFmtId="0" fontId="0" fillId="7" borderId="0" xfId="1" applyFont="1" applyFill="1" applyAlignment="1">
      <alignment horizontal="center" vertical="center" wrapText="1"/>
    </xf>
    <xf numFmtId="2" fontId="0" fillId="0" borderId="0" xfId="1" applyNumberFormat="1" applyFont="1"/>
    <xf numFmtId="0" fontId="4" fillId="5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감산형</c:v>
          </c:tx>
          <c:cat>
            <c:numRef>
              <c:f>'Damage Simulator'!$A$9:$A$39</c:f>
              <c:numCache>
                <c:formatCode>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'Damage Simulator'!$C$9:$C$39</c:f>
              <c:numCache>
                <c:formatCode>0.0</c:formatCode>
                <c:ptCount val="3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C-4B75-928D-F5C1BF107293}"/>
            </c:ext>
          </c:extLst>
        </c:ser>
        <c:ser>
          <c:idx val="1"/>
          <c:order val="1"/>
          <c:tx>
            <c:v>하이퍼볼릭형</c:v>
          </c:tx>
          <c:cat>
            <c:numRef>
              <c:f>'Damage Simulator'!$A$9:$A$39</c:f>
              <c:numCache>
                <c:formatCode>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'Damage Simulator'!$D$9:$D$39</c:f>
              <c:numCache>
                <c:formatCode>0.0</c:formatCode>
                <c:ptCount val="31"/>
                <c:pt idx="0">
                  <c:v>100</c:v>
                </c:pt>
                <c:pt idx="1">
                  <c:v>98.039215686274517</c:v>
                </c:pt>
                <c:pt idx="2">
                  <c:v>96.15384615384616</c:v>
                </c:pt>
                <c:pt idx="3">
                  <c:v>94.339622641509436</c:v>
                </c:pt>
                <c:pt idx="4">
                  <c:v>92.592592592592595</c:v>
                </c:pt>
                <c:pt idx="5">
                  <c:v>90.909090909090907</c:v>
                </c:pt>
                <c:pt idx="6">
                  <c:v>89.285714285714292</c:v>
                </c:pt>
                <c:pt idx="7">
                  <c:v>87.719298245614041</c:v>
                </c:pt>
                <c:pt idx="8">
                  <c:v>86.206896551724142</c:v>
                </c:pt>
                <c:pt idx="9">
                  <c:v>84.745762711864401</c:v>
                </c:pt>
                <c:pt idx="10">
                  <c:v>83.333333333333329</c:v>
                </c:pt>
                <c:pt idx="11">
                  <c:v>81.967213114754102</c:v>
                </c:pt>
                <c:pt idx="12">
                  <c:v>80.645161290322577</c:v>
                </c:pt>
                <c:pt idx="13">
                  <c:v>79.365079365079367</c:v>
                </c:pt>
                <c:pt idx="14">
                  <c:v>78.125</c:v>
                </c:pt>
                <c:pt idx="15">
                  <c:v>76.92307692307692</c:v>
                </c:pt>
                <c:pt idx="16">
                  <c:v>75.757575757575751</c:v>
                </c:pt>
                <c:pt idx="17">
                  <c:v>74.626865671641795</c:v>
                </c:pt>
                <c:pt idx="18">
                  <c:v>73.529411764705884</c:v>
                </c:pt>
                <c:pt idx="19">
                  <c:v>72.463768115942031</c:v>
                </c:pt>
                <c:pt idx="20">
                  <c:v>71.428571428571431</c:v>
                </c:pt>
                <c:pt idx="21">
                  <c:v>70.422535211267601</c:v>
                </c:pt>
                <c:pt idx="22">
                  <c:v>69.444444444444443</c:v>
                </c:pt>
                <c:pt idx="23">
                  <c:v>68.493150684931507</c:v>
                </c:pt>
                <c:pt idx="24">
                  <c:v>67.567567567567565</c:v>
                </c:pt>
                <c:pt idx="25">
                  <c:v>66.666666666666671</c:v>
                </c:pt>
                <c:pt idx="26">
                  <c:v>65.78947368421052</c:v>
                </c:pt>
                <c:pt idx="27">
                  <c:v>64.935064935064929</c:v>
                </c:pt>
                <c:pt idx="28">
                  <c:v>64.102564102564102</c:v>
                </c:pt>
                <c:pt idx="29">
                  <c:v>63.291139240506332</c:v>
                </c:pt>
                <c:pt idx="30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C-4B75-928D-F5C1BF107293}"/>
            </c:ext>
          </c:extLst>
        </c:ser>
        <c:ser>
          <c:idx val="2"/>
          <c:order val="2"/>
          <c:tx>
            <c:v>자기 공식</c:v>
          </c:tx>
          <c:cat>
            <c:numRef>
              <c:f>'Damage Simulator'!$A$9:$A$39</c:f>
              <c:numCache>
                <c:formatCode>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'Damage Simulator'!$E$9:$E$39</c:f>
              <c:numCache>
                <c:formatCode>0.0</c:formatCode>
                <c:ptCount val="31"/>
                <c:pt idx="0">
                  <c:v>100</c:v>
                </c:pt>
                <c:pt idx="1">
                  <c:v>98</c:v>
                </c:pt>
                <c:pt idx="2">
                  <c:v>96.039999999999992</c:v>
                </c:pt>
                <c:pt idx="3">
                  <c:v>94.119199999999992</c:v>
                </c:pt>
                <c:pt idx="4">
                  <c:v>92.23681599999999</c:v>
                </c:pt>
                <c:pt idx="5">
                  <c:v>90.392079679999981</c:v>
                </c:pt>
                <c:pt idx="6">
                  <c:v>88.584238086399978</c:v>
                </c:pt>
                <c:pt idx="7">
                  <c:v>86.812553324671981</c:v>
                </c:pt>
                <c:pt idx="8">
                  <c:v>85.076302258178544</c:v>
                </c:pt>
                <c:pt idx="9">
                  <c:v>83.374776213014968</c:v>
                </c:pt>
                <c:pt idx="10">
                  <c:v>81.707280688754651</c:v>
                </c:pt>
                <c:pt idx="11">
                  <c:v>80.073135074979561</c:v>
                </c:pt>
                <c:pt idx="12">
                  <c:v>78.471672373479976</c:v>
                </c:pt>
                <c:pt idx="13">
                  <c:v>76.902238926010369</c:v>
                </c:pt>
                <c:pt idx="14">
                  <c:v>75.364194147490167</c:v>
                </c:pt>
                <c:pt idx="15">
                  <c:v>73.85691026454036</c:v>
                </c:pt>
                <c:pt idx="16">
                  <c:v>72.379772059249547</c:v>
                </c:pt>
                <c:pt idx="17">
                  <c:v>70.93217661806456</c:v>
                </c:pt>
                <c:pt idx="18">
                  <c:v>69.513533085703259</c:v>
                </c:pt>
                <c:pt idx="19">
                  <c:v>68.123262423989189</c:v>
                </c:pt>
                <c:pt idx="20">
                  <c:v>66.76079717550941</c:v>
                </c:pt>
                <c:pt idx="21">
                  <c:v>65.425581231999217</c:v>
                </c:pt>
                <c:pt idx="22">
                  <c:v>64.117069607359241</c:v>
                </c:pt>
                <c:pt idx="23">
                  <c:v>62.834728215212046</c:v>
                </c:pt>
                <c:pt idx="24">
                  <c:v>61.578033650907805</c:v>
                </c:pt>
                <c:pt idx="25">
                  <c:v>60.34647297788964</c:v>
                </c:pt>
                <c:pt idx="26">
                  <c:v>59.139543518331848</c:v>
                </c:pt>
                <c:pt idx="27">
                  <c:v>57.956752647965203</c:v>
                </c:pt>
                <c:pt idx="28">
                  <c:v>56.797617595005903</c:v>
                </c:pt>
                <c:pt idx="29">
                  <c:v>55.661665243105787</c:v>
                </c:pt>
                <c:pt idx="30">
                  <c:v>54.548431938243667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1C-4B75-928D-F5C1BF107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DEF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Final Damage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감산형</c:v>
          </c:tx>
          <c:invertIfNegative val="1"/>
          <c:cat>
            <c:strRef>
              <c:f>'Scenario Test'!$A$9:$A$10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'Scenario Test'!$B$9:$B$10</c:f>
              <c:numCache>
                <c:formatCode>0.00</c:formatCode>
                <c:ptCount val="2"/>
                <c:pt idx="0">
                  <c:v>0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2-49FA-BA39-DC2BAB4A5018}"/>
            </c:ext>
          </c:extLst>
        </c:ser>
        <c:ser>
          <c:idx val="1"/>
          <c:order val="1"/>
          <c:tx>
            <c:v>하이퍼볼릭형</c:v>
          </c:tx>
          <c:invertIfNegative val="1"/>
          <c:cat>
            <c:strRef>
              <c:f>'Scenario Test'!$A$9:$A$10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'Scenario Test'!$C$9:$C$10</c:f>
              <c:numCache>
                <c:formatCode>0.00</c:formatCode>
                <c:ptCount val="2"/>
                <c:pt idx="0">
                  <c:v>10</c:v>
                </c:pt>
                <c:pt idx="1">
                  <c:v>153.84615384615384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2-49FA-BA39-DC2BAB4A5018}"/>
            </c:ext>
          </c:extLst>
        </c:ser>
        <c:ser>
          <c:idx val="2"/>
          <c:order val="2"/>
          <c:tx>
            <c:v>자기 공식</c:v>
          </c:tx>
          <c:invertIfNegative val="1"/>
          <c:cat>
            <c:strRef>
              <c:f>'Scenario Test'!$A$9:$A$10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'Scenario Test'!$D$9:$D$10</c:f>
              <c:numCache>
                <c:formatCode>0.00</c:formatCode>
                <c:ptCount val="2"/>
                <c:pt idx="0">
                  <c:v>20.028239152652823</c:v>
                </c:pt>
                <c:pt idx="1">
                  <c:v>188.23839999999998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2-49FA-BA39-DC2BAB4A5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Scenario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Final Damage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190500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mageFormulaTable" displayName="DamageFormulaTable" ref="A8:F39">
  <tableColumns count="6">
    <tableColumn id="1" xr3:uid="{00000000-0010-0000-0000-000001000000}" name="DEF"/>
    <tableColumn id="2" xr3:uid="{00000000-0010-0000-0000-000002000000}" name="ATK"/>
    <tableColumn id="3" xr3:uid="{00000000-0010-0000-0000-000003000000}" name="감산형 피해"/>
    <tableColumn id="4" xr3:uid="{00000000-0010-0000-0000-000004000000}" name="하이퍼볼릭형 피해"/>
    <tableColumn id="5" xr3:uid="{00000000-0010-0000-0000-000005000000}" name="자기 공식 피해"/>
    <tableColumn id="6" xr3:uid="{00000000-0010-0000-0000-000006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A7" workbookViewId="0">
      <selection activeCell="U15" sqref="U15"/>
    </sheetView>
  </sheetViews>
  <sheetFormatPr defaultRowHeight="14.25"/>
  <cols>
    <col min="1" max="2" width="10" customWidth="1"/>
    <col min="3" max="3" width="15" customWidth="1"/>
    <col min="4" max="4" width="19" customWidth="1"/>
    <col min="5" max="5" width="17" customWidth="1"/>
    <col min="6" max="6" width="25" customWidth="1"/>
  </cols>
  <sheetData>
    <row r="1" spans="1:6" ht="27.95" customHeight="1">
      <c r="A1" s="16" t="s">
        <v>0</v>
      </c>
      <c r="B1" s="16"/>
      <c r="C1" s="16"/>
      <c r="D1" s="16"/>
      <c r="E1" s="16"/>
      <c r="F1" s="16"/>
    </row>
    <row r="3" spans="1:6" ht="15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</row>
    <row r="4" spans="1:6" ht="28.5">
      <c r="A4" s="2" t="s">
        <v>6</v>
      </c>
      <c r="B4" s="3">
        <v>100</v>
      </c>
      <c r="D4" s="6" t="s">
        <v>7</v>
      </c>
      <c r="E4" s="5" t="s">
        <v>8</v>
      </c>
      <c r="F4" s="5" t="s">
        <v>9</v>
      </c>
    </row>
    <row r="5" spans="1:6" ht="28.5">
      <c r="A5" s="2" t="s">
        <v>10</v>
      </c>
      <c r="B5" s="3">
        <v>500</v>
      </c>
      <c r="D5" s="6" t="s">
        <v>11</v>
      </c>
      <c r="E5" s="5" t="s">
        <v>12</v>
      </c>
      <c r="F5" s="5" t="s">
        <v>13</v>
      </c>
    </row>
    <row r="6" spans="1:6" ht="28.5">
      <c r="A6" s="2" t="s">
        <v>14</v>
      </c>
      <c r="B6" s="4">
        <v>0.98</v>
      </c>
      <c r="D6" s="6" t="s">
        <v>15</v>
      </c>
      <c r="E6" s="5" t="s">
        <v>16</v>
      </c>
      <c r="F6" s="5" t="s">
        <v>17</v>
      </c>
    </row>
    <row r="8" spans="1:6" ht="15">
      <c r="A8" s="2" t="s">
        <v>18</v>
      </c>
      <c r="B8" s="2" t="s">
        <v>6</v>
      </c>
      <c r="C8" s="2" t="s">
        <v>19</v>
      </c>
      <c r="D8" s="2" t="s">
        <v>20</v>
      </c>
      <c r="E8" s="2" t="s">
        <v>21</v>
      </c>
      <c r="F8" s="2" t="s">
        <v>22</v>
      </c>
    </row>
    <row r="9" spans="1:6">
      <c r="A9" s="8">
        <v>0</v>
      </c>
      <c r="B9" s="7">
        <f t="shared" ref="B9:B39" si="0">$B$4</f>
        <v>100</v>
      </c>
      <c r="C9" s="7">
        <f t="shared" ref="C9:C39" si="1">MAX(B9-A9,0)</f>
        <v>100</v>
      </c>
      <c r="D9" s="7">
        <f t="shared" ref="D9:D39" si="2">B9*$B$5/($B$5+A9)</f>
        <v>100</v>
      </c>
      <c r="E9" s="7">
        <f t="shared" ref="E9:E39" si="3">B9*POWER($B$6,A9/10)</f>
        <v>100</v>
      </c>
      <c r="F9" t="str">
        <f t="shared" ref="F9:F39" si="4">IF(C9=0,"감산형 0 피해",IF(A9=$B$5,"하이퍼볼릭 기준점",""))</f>
        <v/>
      </c>
    </row>
    <row r="10" spans="1:6">
      <c r="A10" s="8">
        <v>10</v>
      </c>
      <c r="B10" s="7">
        <f t="shared" si="0"/>
        <v>100</v>
      </c>
      <c r="C10" s="7">
        <f t="shared" si="1"/>
        <v>90</v>
      </c>
      <c r="D10" s="7">
        <f t="shared" si="2"/>
        <v>98.039215686274517</v>
      </c>
      <c r="E10" s="7">
        <f t="shared" si="3"/>
        <v>98</v>
      </c>
      <c r="F10" t="str">
        <f t="shared" si="4"/>
        <v/>
      </c>
    </row>
    <row r="11" spans="1:6">
      <c r="A11" s="8">
        <v>20</v>
      </c>
      <c r="B11" s="7">
        <f t="shared" si="0"/>
        <v>100</v>
      </c>
      <c r="C11" s="7">
        <f t="shared" si="1"/>
        <v>80</v>
      </c>
      <c r="D11" s="7">
        <f t="shared" si="2"/>
        <v>96.15384615384616</v>
      </c>
      <c r="E11" s="7">
        <f t="shared" si="3"/>
        <v>96.039999999999992</v>
      </c>
      <c r="F11" t="str">
        <f t="shared" si="4"/>
        <v/>
      </c>
    </row>
    <row r="12" spans="1:6">
      <c r="A12" s="8">
        <v>30</v>
      </c>
      <c r="B12" s="7">
        <f t="shared" si="0"/>
        <v>100</v>
      </c>
      <c r="C12" s="7">
        <f t="shared" si="1"/>
        <v>70</v>
      </c>
      <c r="D12" s="7">
        <f t="shared" si="2"/>
        <v>94.339622641509436</v>
      </c>
      <c r="E12" s="7">
        <f t="shared" si="3"/>
        <v>94.119199999999992</v>
      </c>
      <c r="F12" t="str">
        <f t="shared" si="4"/>
        <v/>
      </c>
    </row>
    <row r="13" spans="1:6">
      <c r="A13" s="8">
        <v>40</v>
      </c>
      <c r="B13" s="7">
        <f t="shared" si="0"/>
        <v>100</v>
      </c>
      <c r="C13" s="7">
        <f t="shared" si="1"/>
        <v>60</v>
      </c>
      <c r="D13" s="7">
        <f t="shared" si="2"/>
        <v>92.592592592592595</v>
      </c>
      <c r="E13" s="7">
        <f t="shared" si="3"/>
        <v>92.23681599999999</v>
      </c>
      <c r="F13" t="str">
        <f t="shared" si="4"/>
        <v/>
      </c>
    </row>
    <row r="14" spans="1:6">
      <c r="A14" s="8">
        <v>50</v>
      </c>
      <c r="B14" s="7">
        <f t="shared" si="0"/>
        <v>100</v>
      </c>
      <c r="C14" s="7">
        <f t="shared" si="1"/>
        <v>50</v>
      </c>
      <c r="D14" s="7">
        <f t="shared" si="2"/>
        <v>90.909090909090907</v>
      </c>
      <c r="E14" s="7">
        <f t="shared" si="3"/>
        <v>90.392079679999981</v>
      </c>
      <c r="F14" t="str">
        <f t="shared" si="4"/>
        <v/>
      </c>
    </row>
    <row r="15" spans="1:6">
      <c r="A15" s="8">
        <v>60</v>
      </c>
      <c r="B15" s="7">
        <f t="shared" si="0"/>
        <v>100</v>
      </c>
      <c r="C15" s="7">
        <f t="shared" si="1"/>
        <v>40</v>
      </c>
      <c r="D15" s="7">
        <f t="shared" si="2"/>
        <v>89.285714285714292</v>
      </c>
      <c r="E15" s="7">
        <f t="shared" si="3"/>
        <v>88.584238086399978</v>
      </c>
      <c r="F15" t="str">
        <f t="shared" si="4"/>
        <v/>
      </c>
    </row>
    <row r="16" spans="1:6">
      <c r="A16" s="8">
        <v>70</v>
      </c>
      <c r="B16" s="7">
        <f t="shared" si="0"/>
        <v>100</v>
      </c>
      <c r="C16" s="7">
        <f t="shared" si="1"/>
        <v>30</v>
      </c>
      <c r="D16" s="7">
        <f t="shared" si="2"/>
        <v>87.719298245614041</v>
      </c>
      <c r="E16" s="7">
        <f t="shared" si="3"/>
        <v>86.812553324671981</v>
      </c>
      <c r="F16" t="str">
        <f t="shared" si="4"/>
        <v/>
      </c>
    </row>
    <row r="17" spans="1:16">
      <c r="A17" s="8">
        <v>80</v>
      </c>
      <c r="B17" s="7">
        <f t="shared" si="0"/>
        <v>100</v>
      </c>
      <c r="C17" s="7">
        <f t="shared" si="1"/>
        <v>20</v>
      </c>
      <c r="D17" s="7">
        <f t="shared" si="2"/>
        <v>86.206896551724142</v>
      </c>
      <c r="E17" s="7">
        <f t="shared" si="3"/>
        <v>85.076302258178544</v>
      </c>
      <c r="F17" t="str">
        <f t="shared" si="4"/>
        <v/>
      </c>
    </row>
    <row r="18" spans="1:16">
      <c r="A18" s="8">
        <v>90</v>
      </c>
      <c r="B18" s="7">
        <f t="shared" si="0"/>
        <v>100</v>
      </c>
      <c r="C18" s="7">
        <f t="shared" si="1"/>
        <v>10</v>
      </c>
      <c r="D18" s="7">
        <f t="shared" si="2"/>
        <v>84.745762711864401</v>
      </c>
      <c r="E18" s="7">
        <f t="shared" si="3"/>
        <v>83.374776213014968</v>
      </c>
      <c r="F18" t="str">
        <f t="shared" si="4"/>
        <v/>
      </c>
    </row>
    <row r="19" spans="1:16">
      <c r="A19" s="8">
        <v>100</v>
      </c>
      <c r="B19" s="7">
        <f t="shared" si="0"/>
        <v>100</v>
      </c>
      <c r="C19" s="7">
        <f t="shared" si="1"/>
        <v>0</v>
      </c>
      <c r="D19" s="7">
        <f t="shared" si="2"/>
        <v>83.333333333333329</v>
      </c>
      <c r="E19" s="7">
        <f t="shared" si="3"/>
        <v>81.707280688754651</v>
      </c>
      <c r="F19" t="str">
        <f t="shared" si="4"/>
        <v>감산형 0 피해</v>
      </c>
    </row>
    <row r="20" spans="1:16">
      <c r="A20" s="8">
        <v>110</v>
      </c>
      <c r="B20" s="7">
        <f t="shared" si="0"/>
        <v>100</v>
      </c>
      <c r="C20" s="7">
        <f t="shared" si="1"/>
        <v>0</v>
      </c>
      <c r="D20" s="7">
        <f t="shared" si="2"/>
        <v>81.967213114754102</v>
      </c>
      <c r="E20" s="7">
        <f t="shared" si="3"/>
        <v>80.073135074979561</v>
      </c>
      <c r="F20" t="str">
        <f t="shared" si="4"/>
        <v>감산형 0 피해</v>
      </c>
    </row>
    <row r="21" spans="1:16">
      <c r="A21" s="8">
        <v>120</v>
      </c>
      <c r="B21" s="7">
        <f t="shared" si="0"/>
        <v>100</v>
      </c>
      <c r="C21" s="7">
        <f t="shared" si="1"/>
        <v>0</v>
      </c>
      <c r="D21" s="7">
        <f t="shared" si="2"/>
        <v>80.645161290322577</v>
      </c>
      <c r="E21" s="7">
        <f t="shared" si="3"/>
        <v>78.471672373479976</v>
      </c>
      <c r="F21" t="str">
        <f t="shared" si="4"/>
        <v>감산형 0 피해</v>
      </c>
    </row>
    <row r="22" spans="1:16">
      <c r="A22" s="8">
        <v>130</v>
      </c>
      <c r="B22" s="7">
        <f t="shared" si="0"/>
        <v>100</v>
      </c>
      <c r="C22" s="7">
        <f t="shared" si="1"/>
        <v>0</v>
      </c>
      <c r="D22" s="7">
        <f t="shared" si="2"/>
        <v>79.365079365079367</v>
      </c>
      <c r="E22" s="7">
        <f t="shared" si="3"/>
        <v>76.902238926010369</v>
      </c>
      <c r="F22" t="str">
        <f t="shared" si="4"/>
        <v>감산형 0 피해</v>
      </c>
    </row>
    <row r="23" spans="1:16">
      <c r="A23" s="8">
        <v>140</v>
      </c>
      <c r="B23" s="7">
        <f t="shared" si="0"/>
        <v>100</v>
      </c>
      <c r="C23" s="7">
        <f t="shared" si="1"/>
        <v>0</v>
      </c>
      <c r="D23" s="7">
        <f t="shared" si="2"/>
        <v>78.125</v>
      </c>
      <c r="E23" s="7">
        <f t="shared" si="3"/>
        <v>75.364194147490167</v>
      </c>
      <c r="F23" t="str">
        <f t="shared" si="4"/>
        <v>감산형 0 피해</v>
      </c>
    </row>
    <row r="24" spans="1:16" ht="30">
      <c r="A24" s="8">
        <v>150</v>
      </c>
      <c r="B24" s="7">
        <f t="shared" si="0"/>
        <v>100</v>
      </c>
      <c r="C24" s="7">
        <f t="shared" si="1"/>
        <v>0</v>
      </c>
      <c r="D24" s="7">
        <f t="shared" si="2"/>
        <v>76.92307692307692</v>
      </c>
      <c r="E24" s="7">
        <f t="shared" si="3"/>
        <v>73.85691026454036</v>
      </c>
      <c r="F24" t="str">
        <f t="shared" si="4"/>
        <v>감산형 0 피해</v>
      </c>
      <c r="H24" s="9" t="s">
        <v>23</v>
      </c>
      <c r="I24" s="17"/>
      <c r="J24" s="17"/>
      <c r="K24" s="17"/>
      <c r="L24" s="17"/>
      <c r="M24" s="17"/>
      <c r="N24" s="17"/>
      <c r="O24" s="17"/>
      <c r="P24" s="17"/>
    </row>
    <row r="25" spans="1:16" ht="15">
      <c r="A25" s="8">
        <v>160</v>
      </c>
      <c r="B25" s="7">
        <f t="shared" si="0"/>
        <v>100</v>
      </c>
      <c r="C25" s="7">
        <f t="shared" si="1"/>
        <v>0</v>
      </c>
      <c r="D25" s="7">
        <f t="shared" si="2"/>
        <v>75.757575757575751</v>
      </c>
      <c r="E25" s="7">
        <f t="shared" si="3"/>
        <v>72.379772059249547</v>
      </c>
      <c r="F25" t="str">
        <f t="shared" si="4"/>
        <v>감산형 0 피해</v>
      </c>
      <c r="H25" s="10" t="s">
        <v>7</v>
      </c>
      <c r="I25" s="15" t="s">
        <v>24</v>
      </c>
      <c r="J25" s="15"/>
      <c r="K25" s="15"/>
      <c r="L25" s="15"/>
      <c r="M25" s="15"/>
      <c r="N25" s="15"/>
      <c r="O25" s="15"/>
      <c r="P25" s="15"/>
    </row>
    <row r="26" spans="1:16" ht="30">
      <c r="A26" s="8">
        <v>170</v>
      </c>
      <c r="B26" s="7">
        <f t="shared" si="0"/>
        <v>100</v>
      </c>
      <c r="C26" s="7">
        <f t="shared" si="1"/>
        <v>0</v>
      </c>
      <c r="D26" s="7">
        <f t="shared" si="2"/>
        <v>74.626865671641795</v>
      </c>
      <c r="E26" s="7">
        <f t="shared" si="3"/>
        <v>70.93217661806456</v>
      </c>
      <c r="F26" t="str">
        <f t="shared" si="4"/>
        <v>감산형 0 피해</v>
      </c>
      <c r="H26" s="10" t="s">
        <v>11</v>
      </c>
      <c r="I26" s="15" t="s">
        <v>25</v>
      </c>
      <c r="J26" s="15"/>
      <c r="K26" s="15"/>
      <c r="L26" s="15"/>
      <c r="M26" s="15"/>
      <c r="N26" s="15"/>
      <c r="O26" s="15"/>
      <c r="P26" s="15"/>
    </row>
    <row r="27" spans="1:16" ht="15">
      <c r="A27" s="8">
        <v>180</v>
      </c>
      <c r="B27" s="7">
        <f t="shared" si="0"/>
        <v>100</v>
      </c>
      <c r="C27" s="7">
        <f t="shared" si="1"/>
        <v>0</v>
      </c>
      <c r="D27" s="7">
        <f t="shared" si="2"/>
        <v>73.529411764705884</v>
      </c>
      <c r="E27" s="7">
        <f t="shared" si="3"/>
        <v>69.513533085703259</v>
      </c>
      <c r="F27" t="str">
        <f t="shared" si="4"/>
        <v>감산형 0 피해</v>
      </c>
      <c r="H27" s="10" t="s">
        <v>15</v>
      </c>
      <c r="I27" s="15" t="s">
        <v>26</v>
      </c>
      <c r="J27" s="15"/>
      <c r="K27" s="15"/>
      <c r="L27" s="15"/>
      <c r="M27" s="15"/>
      <c r="N27" s="15"/>
      <c r="O27" s="15"/>
      <c r="P27" s="15"/>
    </row>
    <row r="28" spans="1:16" ht="30">
      <c r="A28" s="8">
        <v>190</v>
      </c>
      <c r="B28" s="7">
        <f t="shared" si="0"/>
        <v>100</v>
      </c>
      <c r="C28" s="7">
        <f t="shared" si="1"/>
        <v>0</v>
      </c>
      <c r="D28" s="7">
        <f t="shared" si="2"/>
        <v>72.463768115942031</v>
      </c>
      <c r="E28" s="7">
        <f t="shared" si="3"/>
        <v>68.123262423989189</v>
      </c>
      <c r="F28" t="str">
        <f t="shared" si="4"/>
        <v>감산형 0 피해</v>
      </c>
      <c r="H28" s="10" t="s">
        <v>27</v>
      </c>
      <c r="I28" s="15" t="s">
        <v>28</v>
      </c>
      <c r="J28" s="15"/>
      <c r="K28" s="15"/>
      <c r="L28" s="15"/>
      <c r="M28" s="15"/>
      <c r="N28" s="15"/>
      <c r="O28" s="15"/>
      <c r="P28" s="15"/>
    </row>
    <row r="29" spans="1:16" ht="15">
      <c r="A29" s="8">
        <v>200</v>
      </c>
      <c r="B29" s="7">
        <f t="shared" si="0"/>
        <v>100</v>
      </c>
      <c r="C29" s="7">
        <f t="shared" si="1"/>
        <v>0</v>
      </c>
      <c r="D29" s="7">
        <f t="shared" si="2"/>
        <v>71.428571428571431</v>
      </c>
      <c r="E29" s="7">
        <f t="shared" si="3"/>
        <v>66.76079717550941</v>
      </c>
      <c r="F29" t="str">
        <f t="shared" si="4"/>
        <v>감산형 0 피해</v>
      </c>
      <c r="H29" s="10" t="s">
        <v>29</v>
      </c>
      <c r="I29" s="15" t="s">
        <v>30</v>
      </c>
      <c r="J29" s="15"/>
      <c r="K29" s="15"/>
      <c r="L29" s="15"/>
      <c r="M29" s="15"/>
      <c r="N29" s="15"/>
      <c r="O29" s="15"/>
      <c r="P29" s="15"/>
    </row>
    <row r="30" spans="1:16">
      <c r="A30" s="8">
        <v>210</v>
      </c>
      <c r="B30" s="7">
        <f t="shared" si="0"/>
        <v>100</v>
      </c>
      <c r="C30" s="7">
        <f t="shared" si="1"/>
        <v>0</v>
      </c>
      <c r="D30" s="7">
        <f t="shared" si="2"/>
        <v>70.422535211267601</v>
      </c>
      <c r="E30" s="7">
        <f t="shared" si="3"/>
        <v>65.425581231999217</v>
      </c>
      <c r="F30" t="str">
        <f t="shared" si="4"/>
        <v>감산형 0 피해</v>
      </c>
    </row>
    <row r="31" spans="1:16">
      <c r="A31" s="8">
        <v>220</v>
      </c>
      <c r="B31" s="7">
        <f t="shared" si="0"/>
        <v>100</v>
      </c>
      <c r="C31" s="7">
        <f t="shared" si="1"/>
        <v>0</v>
      </c>
      <c r="D31" s="7">
        <f t="shared" si="2"/>
        <v>69.444444444444443</v>
      </c>
      <c r="E31" s="7">
        <f t="shared" si="3"/>
        <v>64.117069607359241</v>
      </c>
      <c r="F31" t="str">
        <f t="shared" si="4"/>
        <v>감산형 0 피해</v>
      </c>
    </row>
    <row r="32" spans="1:16">
      <c r="A32" s="8">
        <v>230</v>
      </c>
      <c r="B32" s="7">
        <f t="shared" si="0"/>
        <v>100</v>
      </c>
      <c r="C32" s="7">
        <f t="shared" si="1"/>
        <v>0</v>
      </c>
      <c r="D32" s="7">
        <f t="shared" si="2"/>
        <v>68.493150684931507</v>
      </c>
      <c r="E32" s="7">
        <f t="shared" si="3"/>
        <v>62.834728215212046</v>
      </c>
      <c r="F32" t="str">
        <f t="shared" si="4"/>
        <v>감산형 0 피해</v>
      </c>
    </row>
    <row r="33" spans="1:6">
      <c r="A33" s="8">
        <v>240</v>
      </c>
      <c r="B33" s="7">
        <f t="shared" si="0"/>
        <v>100</v>
      </c>
      <c r="C33" s="7">
        <f t="shared" si="1"/>
        <v>0</v>
      </c>
      <c r="D33" s="7">
        <f t="shared" si="2"/>
        <v>67.567567567567565</v>
      </c>
      <c r="E33" s="7">
        <f t="shared" si="3"/>
        <v>61.578033650907805</v>
      </c>
      <c r="F33" t="str">
        <f t="shared" si="4"/>
        <v>감산형 0 피해</v>
      </c>
    </row>
    <row r="34" spans="1:6">
      <c r="A34" s="8">
        <v>250</v>
      </c>
      <c r="B34" s="7">
        <f t="shared" si="0"/>
        <v>100</v>
      </c>
      <c r="C34" s="7">
        <f t="shared" si="1"/>
        <v>0</v>
      </c>
      <c r="D34" s="7">
        <f t="shared" si="2"/>
        <v>66.666666666666671</v>
      </c>
      <c r="E34" s="7">
        <f t="shared" si="3"/>
        <v>60.34647297788964</v>
      </c>
      <c r="F34" t="str">
        <f t="shared" si="4"/>
        <v>감산형 0 피해</v>
      </c>
    </row>
    <row r="35" spans="1:6">
      <c r="A35" s="8">
        <v>260</v>
      </c>
      <c r="B35" s="7">
        <f t="shared" si="0"/>
        <v>100</v>
      </c>
      <c r="C35" s="7">
        <f t="shared" si="1"/>
        <v>0</v>
      </c>
      <c r="D35" s="7">
        <f t="shared" si="2"/>
        <v>65.78947368421052</v>
      </c>
      <c r="E35" s="7">
        <f t="shared" si="3"/>
        <v>59.139543518331848</v>
      </c>
      <c r="F35" t="str">
        <f t="shared" si="4"/>
        <v>감산형 0 피해</v>
      </c>
    </row>
    <row r="36" spans="1:6">
      <c r="A36" s="8">
        <v>270</v>
      </c>
      <c r="B36" s="7">
        <f t="shared" si="0"/>
        <v>100</v>
      </c>
      <c r="C36" s="7">
        <f t="shared" si="1"/>
        <v>0</v>
      </c>
      <c r="D36" s="7">
        <f t="shared" si="2"/>
        <v>64.935064935064929</v>
      </c>
      <c r="E36" s="7">
        <f t="shared" si="3"/>
        <v>57.956752647965203</v>
      </c>
      <c r="F36" t="str">
        <f t="shared" si="4"/>
        <v>감산형 0 피해</v>
      </c>
    </row>
    <row r="37" spans="1:6">
      <c r="A37" s="8">
        <v>280</v>
      </c>
      <c r="B37" s="7">
        <f t="shared" si="0"/>
        <v>100</v>
      </c>
      <c r="C37" s="7">
        <f t="shared" si="1"/>
        <v>0</v>
      </c>
      <c r="D37" s="7">
        <f t="shared" si="2"/>
        <v>64.102564102564102</v>
      </c>
      <c r="E37" s="7">
        <f t="shared" si="3"/>
        <v>56.797617595005903</v>
      </c>
      <c r="F37" t="str">
        <f t="shared" si="4"/>
        <v>감산형 0 피해</v>
      </c>
    </row>
    <row r="38" spans="1:6">
      <c r="A38" s="8">
        <v>290</v>
      </c>
      <c r="B38" s="7">
        <f t="shared" si="0"/>
        <v>100</v>
      </c>
      <c r="C38" s="7">
        <f t="shared" si="1"/>
        <v>0</v>
      </c>
      <c r="D38" s="7">
        <f t="shared" si="2"/>
        <v>63.291139240506332</v>
      </c>
      <c r="E38" s="7">
        <f t="shared" si="3"/>
        <v>55.661665243105787</v>
      </c>
      <c r="F38" t="str">
        <f t="shared" si="4"/>
        <v>감산형 0 피해</v>
      </c>
    </row>
    <row r="39" spans="1:6">
      <c r="A39" s="8">
        <v>300</v>
      </c>
      <c r="B39" s="7">
        <f t="shared" si="0"/>
        <v>100</v>
      </c>
      <c r="C39" s="7">
        <f t="shared" si="1"/>
        <v>0</v>
      </c>
      <c r="D39" s="7">
        <f t="shared" si="2"/>
        <v>62.5</v>
      </c>
      <c r="E39" s="7">
        <f t="shared" si="3"/>
        <v>54.548431938243667</v>
      </c>
      <c r="F39" t="str">
        <f t="shared" si="4"/>
        <v>감산형 0 피해</v>
      </c>
    </row>
    <row r="41" spans="1:6" ht="15">
      <c r="A41" s="2" t="s">
        <v>31</v>
      </c>
      <c r="B41" s="15" t="s">
        <v>32</v>
      </c>
      <c r="C41" s="15"/>
      <c r="D41" s="15"/>
      <c r="E41" s="15"/>
      <c r="F41" s="15"/>
    </row>
    <row r="42" spans="1:6" ht="15">
      <c r="A42" s="2" t="s">
        <v>15</v>
      </c>
      <c r="B42" s="15" t="s">
        <v>33</v>
      </c>
      <c r="C42" s="15"/>
      <c r="D42" s="15"/>
      <c r="E42" s="15"/>
      <c r="F42" s="15"/>
    </row>
    <row r="43" spans="1:6" ht="15">
      <c r="A43" s="2" t="s">
        <v>34</v>
      </c>
      <c r="B43" s="15" t="s">
        <v>35</v>
      </c>
      <c r="C43" s="15"/>
      <c r="D43" s="15"/>
      <c r="E43" s="15"/>
      <c r="F43" s="15"/>
    </row>
  </sheetData>
  <mergeCells count="10">
    <mergeCell ref="A1:F1"/>
    <mergeCell ref="I24:P24"/>
    <mergeCell ref="I25:P25"/>
    <mergeCell ref="I26:P26"/>
    <mergeCell ref="I27:P27"/>
    <mergeCell ref="I28:P28"/>
    <mergeCell ref="I29:P29"/>
    <mergeCell ref="B41:F41"/>
    <mergeCell ref="B42:F42"/>
    <mergeCell ref="B43:F43"/>
  </mergeCells>
  <phoneticPr fontId="8" type="noConversion"/>
  <conditionalFormatting sqref="C9:E39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whole" sqref="B4" xr:uid="{00000000-0002-0000-0000-000000000000}">
      <formula1>10</formula1>
      <formula2>500</formula2>
    </dataValidation>
    <dataValidation type="whole" sqref="B5" xr:uid="{00000000-0002-0000-0000-000001000000}">
      <formula1>1</formula1>
      <formula2>1000</formula2>
    </dataValidation>
    <dataValidation type="decimal" sqref="B6" xr:uid="{00000000-0002-0000-0000-000002000000}">
      <formula1>0.5</formula1>
      <formula2>1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4.25"/>
  <cols>
    <col min="1" max="1" width="14" customWidth="1"/>
    <col min="2" max="2" width="18" customWidth="1"/>
    <col min="3" max="3" width="12" customWidth="1"/>
    <col min="4" max="4" width="18" customWidth="1"/>
    <col min="5" max="5" width="12" customWidth="1"/>
    <col min="6" max="6" width="34" customWidth="1"/>
    <col min="7" max="7" width="36" customWidth="1"/>
  </cols>
  <sheetData>
    <row r="1" spans="1:7" ht="27.95" customHeight="1">
      <c r="A1" s="16" t="s">
        <v>36</v>
      </c>
      <c r="B1" s="16"/>
      <c r="C1" s="16"/>
      <c r="D1" s="16"/>
      <c r="E1" s="16"/>
      <c r="F1" s="16"/>
      <c r="G1" s="16"/>
    </row>
    <row r="3" spans="1:7" ht="15">
      <c r="A3" s="2" t="s">
        <v>37</v>
      </c>
      <c r="B3" s="2" t="s">
        <v>38</v>
      </c>
      <c r="C3" s="2" t="s">
        <v>6</v>
      </c>
      <c r="D3" s="2" t="s">
        <v>39</v>
      </c>
      <c r="E3" s="2" t="s">
        <v>18</v>
      </c>
      <c r="F3" s="2" t="s">
        <v>5</v>
      </c>
      <c r="G3" s="2" t="s">
        <v>40</v>
      </c>
    </row>
    <row r="4" spans="1:7">
      <c r="A4" s="11" t="s">
        <v>41</v>
      </c>
      <c r="B4" s="11" t="s">
        <v>42</v>
      </c>
      <c r="C4" s="11">
        <v>30</v>
      </c>
      <c r="D4" s="11" t="s">
        <v>43</v>
      </c>
      <c r="E4" s="11">
        <v>200</v>
      </c>
      <c r="F4" s="12" t="s">
        <v>44</v>
      </c>
      <c r="G4" s="12"/>
    </row>
    <row r="5" spans="1:7">
      <c r="A5" s="11" t="s">
        <v>45</v>
      </c>
      <c r="B5" s="11" t="s">
        <v>46</v>
      </c>
      <c r="C5" s="11">
        <v>200</v>
      </c>
      <c r="D5" s="11" t="s">
        <v>47</v>
      </c>
      <c r="E5" s="11">
        <v>30</v>
      </c>
      <c r="F5" s="12" t="s">
        <v>48</v>
      </c>
      <c r="G5" s="12"/>
    </row>
    <row r="8" spans="1:7" ht="15">
      <c r="A8" s="2" t="s">
        <v>37</v>
      </c>
      <c r="B8" s="2" t="s">
        <v>19</v>
      </c>
      <c r="C8" s="2" t="s">
        <v>20</v>
      </c>
      <c r="D8" s="2" t="s">
        <v>21</v>
      </c>
      <c r="E8" s="2" t="s">
        <v>49</v>
      </c>
      <c r="F8" s="2" t="s">
        <v>50</v>
      </c>
    </row>
    <row r="9" spans="1:7" ht="30">
      <c r="A9" t="s">
        <v>41</v>
      </c>
      <c r="B9" s="13">
        <f>MAX(C4-E4,0)</f>
        <v>0</v>
      </c>
      <c r="C9" s="13">
        <f>C4*100/(100+E4)</f>
        <v>10</v>
      </c>
      <c r="D9" s="13">
        <f>C4*POWER('Damage Simulator'!$B$6,E4/10)</f>
        <v>20.028239152652823</v>
      </c>
      <c r="E9" s="3" t="s">
        <v>51</v>
      </c>
      <c r="F9" s="14" t="s">
        <v>52</v>
      </c>
    </row>
    <row r="10" spans="1:7" ht="30">
      <c r="A10" t="s">
        <v>45</v>
      </c>
      <c r="B10" s="13">
        <f>MAX(C5-E5,0)</f>
        <v>170</v>
      </c>
      <c r="C10" s="13">
        <f>C5*100/(100+E5)</f>
        <v>153.84615384615384</v>
      </c>
      <c r="D10" s="13">
        <f>C5*POWER('Damage Simulator'!$B$6,E5/10)</f>
        <v>188.23839999999998</v>
      </c>
      <c r="E10" s="3" t="s">
        <v>51</v>
      </c>
      <c r="F10" s="14" t="s">
        <v>53</v>
      </c>
    </row>
    <row r="13" spans="1:7" ht="30">
      <c r="A13" s="9" t="s">
        <v>54</v>
      </c>
      <c r="B13" s="9" t="s">
        <v>3</v>
      </c>
      <c r="C13" s="9" t="s">
        <v>55</v>
      </c>
      <c r="D13" s="9" t="s">
        <v>56</v>
      </c>
      <c r="E13" s="9" t="s">
        <v>57</v>
      </c>
    </row>
    <row r="14" spans="1:7" ht="71.25">
      <c r="A14" s="10" t="s">
        <v>7</v>
      </c>
      <c r="B14" s="5" t="s">
        <v>8</v>
      </c>
      <c r="C14" s="5" t="s">
        <v>58</v>
      </c>
      <c r="D14" s="5" t="s">
        <v>59</v>
      </c>
      <c r="E14" s="5" t="s">
        <v>60</v>
      </c>
    </row>
    <row r="15" spans="1:7" ht="57">
      <c r="A15" s="10" t="s">
        <v>11</v>
      </c>
      <c r="B15" s="5" t="s">
        <v>61</v>
      </c>
      <c r="C15" s="5" t="s">
        <v>62</v>
      </c>
      <c r="D15" s="5" t="s">
        <v>63</v>
      </c>
      <c r="E15" s="5" t="s">
        <v>64</v>
      </c>
    </row>
    <row r="16" spans="1:7" ht="71.25">
      <c r="A16" s="10" t="s">
        <v>15</v>
      </c>
      <c r="B16" s="5" t="s">
        <v>16</v>
      </c>
      <c r="C16" s="5" t="s">
        <v>65</v>
      </c>
      <c r="D16" s="5" t="s">
        <v>66</v>
      </c>
      <c r="E16" s="5" t="s">
        <v>67</v>
      </c>
    </row>
    <row r="17" spans="1:5" ht="71.25">
      <c r="A17" s="10" t="s">
        <v>68</v>
      </c>
      <c r="B17" s="5"/>
      <c r="C17" s="5"/>
      <c r="D17" s="5"/>
      <c r="E17" s="5" t="s">
        <v>69</v>
      </c>
    </row>
  </sheetData>
  <mergeCells count="1">
    <mergeCell ref="A1:G1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Damage Simulator</vt:lpstr>
      <vt:lpstr>Scenario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Daeyoung Ham</cp:lastModifiedBy>
  <dcterms:modified xsi:type="dcterms:W3CDTF">2026-05-13T13:55:31Z</dcterms:modified>
</cp:coreProperties>
</file>